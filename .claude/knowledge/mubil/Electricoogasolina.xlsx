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iragorri\Desktop\NI\"/>
    </mc:Choice>
  </mc:AlternateContent>
  <xr:revisionPtr revIDLastSave="0" documentId="13_ncr:1_{C9CA6810-7CCF-4D04-9230-EED90BB8FAF5}" xr6:coauthVersionLast="47" xr6:coauthVersionMax="47" xr10:uidLastSave="{00000000-0000-0000-0000-000000000000}"/>
  <bookViews>
    <workbookView xWindow="-108" yWindow="-108" windowWidth="23256" windowHeight="13896" xr2:uid="{3FA968C3-E111-4587-B52D-331407F9466D}"/>
  </bookViews>
  <sheets>
    <sheet name="Orri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9" i="1" l="1"/>
  <c r="G25" i="1"/>
  <c r="G26" i="1"/>
  <c r="G24" i="1"/>
  <c r="G23" i="1"/>
  <c r="J23" i="1" s="1"/>
  <c r="G22" i="1"/>
  <c r="G21" i="1"/>
  <c r="G17" i="1"/>
  <c r="G13" i="1"/>
  <c r="G14" i="1"/>
  <c r="G15" i="1"/>
  <c r="G16" i="1"/>
  <c r="G12" i="1"/>
  <c r="G11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F27" i="1"/>
  <c r="AF22" i="1"/>
  <c r="AG20" i="1"/>
  <c r="AH20" i="1" s="1"/>
  <c r="J13" i="1" l="1"/>
  <c r="L19" i="1" s="1"/>
  <c r="AG22" i="1"/>
  <c r="AH22" i="1" s="1"/>
  <c r="AI20" i="1"/>
  <c r="AJ20" i="1" l="1"/>
  <c r="AI22" i="1"/>
  <c r="AK20" i="1" l="1"/>
  <c r="AJ22" i="1"/>
  <c r="AL20" i="1" l="1"/>
  <c r="AK22" i="1"/>
  <c r="AM20" i="1" l="1"/>
  <c r="AL22" i="1"/>
  <c r="AN20" i="1" l="1"/>
  <c r="AM22" i="1"/>
  <c r="AO20" i="1" l="1"/>
  <c r="AP20" i="1" s="1"/>
  <c r="AN22" i="1"/>
  <c r="AQ20" i="1" l="1"/>
  <c r="AO22" i="1"/>
  <c r="AP22" i="1" s="1"/>
  <c r="AG29" i="1"/>
  <c r="AQ16" i="1"/>
  <c r="AP25" i="1" l="1"/>
  <c r="AQ25" i="1"/>
  <c r="AR25" i="1"/>
  <c r="AS25" i="1"/>
  <c r="AT25" i="1"/>
  <c r="AR20" i="1"/>
  <c r="AQ22" i="1"/>
  <c r="AF25" i="1"/>
  <c r="AK25" i="1"/>
  <c r="AG25" i="1"/>
  <c r="AH25" i="1"/>
  <c r="AJ25" i="1"/>
  <c r="AL25" i="1"/>
  <c r="AN25" i="1"/>
  <c r="AM25" i="1"/>
  <c r="AO25" i="1"/>
  <c r="AI25" i="1"/>
  <c r="AS20" i="1" l="1"/>
  <c r="AR22" i="1"/>
  <c r="AT20" i="1" l="1"/>
  <c r="AS22" i="1"/>
  <c r="AT22" i="1" l="1"/>
</calcChain>
</file>

<file path=xl/sharedStrings.xml><?xml version="1.0" encoding="utf-8"?>
<sst xmlns="http://schemas.openxmlformats.org/spreadsheetml/2006/main" count="58" uniqueCount="37">
  <si>
    <t>Sarrerako datuak</t>
  </si>
  <si>
    <t>Gasolinazko kotxea</t>
  </si>
  <si>
    <t>Prezioa</t>
  </si>
  <si>
    <t>km azken urtean</t>
  </si>
  <si>
    <t>kalkulorako urteak</t>
  </si>
  <si>
    <t>Erregaia</t>
  </si>
  <si>
    <t>WLTP kontsumo konbinatua</t>
  </si>
  <si>
    <t>Mantenu gastua urtean</t>
  </si>
  <si>
    <t>Erregaiaren prezioa</t>
  </si>
  <si>
    <t>Argindarraren prezioa</t>
  </si>
  <si>
    <t>€/l</t>
  </si>
  <si>
    <t>km</t>
  </si>
  <si>
    <t>€/kwh</t>
  </si>
  <si>
    <t>Zergak urtean</t>
  </si>
  <si>
    <t>Kotxe elektrikoa</t>
  </si>
  <si>
    <t>Mantenu gastuak urtean</t>
  </si>
  <si>
    <t>2 gurpil neumatiko urtean</t>
  </si>
  <si>
    <t>2 Gurpil neumatiko urtean</t>
  </si>
  <si>
    <t>€</t>
  </si>
  <si>
    <t>l/100km</t>
  </si>
  <si>
    <t>kwh/100km</t>
  </si>
  <si>
    <t>Asegurua</t>
  </si>
  <si>
    <t>Diru laguntzak</t>
  </si>
  <si>
    <t>effimove.com</t>
  </si>
  <si>
    <t>Kostua guztira</t>
  </si>
  <si>
    <t>Korrea aldaketa (100000km)</t>
  </si>
  <si>
    <t>Asegurua urtean</t>
  </si>
  <si>
    <t>Mantenua</t>
  </si>
  <si>
    <t>Zergak</t>
  </si>
  <si>
    <t>Gurpilak</t>
  </si>
  <si>
    <t>Mantenu extra</t>
  </si>
  <si>
    <t>Energia</t>
  </si>
  <si>
    <t>GUZTIRA</t>
  </si>
  <si>
    <t>DIFERENTZIA</t>
  </si>
  <si>
    <t>URTETAN</t>
  </si>
  <si>
    <t>OJO</t>
  </si>
  <si>
    <t>Tarteko kalkuluak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</si>
</sst>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\ &quot;€&quot;"/>
  </numFmts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0" fontId="0" fillId="2" borderId="0" xfId="0" applyFill="1"/>
  </cellXfs>
  <cellStyles count="1">
    <cellStyle name="Normal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u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Orria1!$F$11:$F$17</c:f>
              <c:strCache>
                <c:ptCount val="7"/>
                <c:pt idx="0">
                  <c:v>Prezioa</c:v>
                </c:pt>
                <c:pt idx="1">
                  <c:v>Asegurua</c:v>
                </c:pt>
                <c:pt idx="2">
                  <c:v>Erregaia</c:v>
                </c:pt>
                <c:pt idx="3">
                  <c:v>Mantenua</c:v>
                </c:pt>
                <c:pt idx="4">
                  <c:v>Zergak</c:v>
                </c:pt>
                <c:pt idx="5">
                  <c:v>Gurpilak</c:v>
                </c:pt>
                <c:pt idx="6">
                  <c:v>Mantenu extra</c:v>
                </c:pt>
              </c:strCache>
            </c:strRef>
          </c:cat>
          <c:val>
            <c:numRef>
              <c:f>Orria1!$G$11:$G$17</c:f>
              <c:numCache>
                <c:formatCode>#,##0\ "€"</c:formatCode>
                <c:ptCount val="7"/>
                <c:pt idx="0">
                  <c:v>16550</c:v>
                </c:pt>
                <c:pt idx="1">
                  <c:v>4945.5262774463454</c:v>
                </c:pt>
                <c:pt idx="2">
                  <c:v>18357.793541880834</c:v>
                </c:pt>
                <c:pt idx="3">
                  <c:v>2747.5145985813028</c:v>
                </c:pt>
                <c:pt idx="4">
                  <c:v>989.1052554892691</c:v>
                </c:pt>
                <c:pt idx="5">
                  <c:v>3846.5204380138243</c:v>
                </c:pt>
                <c:pt idx="6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D-4E85-8077-BFA31EFD5377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u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Orria1!$F$21:$F$26</c:f>
              <c:strCache>
                <c:ptCount val="6"/>
                <c:pt idx="0">
                  <c:v>Prezioa</c:v>
                </c:pt>
                <c:pt idx="1">
                  <c:v>Asegurua</c:v>
                </c:pt>
                <c:pt idx="2">
                  <c:v>Energia</c:v>
                </c:pt>
                <c:pt idx="3">
                  <c:v>Mantenua</c:v>
                </c:pt>
                <c:pt idx="4">
                  <c:v>Zergak</c:v>
                </c:pt>
                <c:pt idx="5">
                  <c:v>Gurpilak</c:v>
                </c:pt>
              </c:strCache>
            </c:strRef>
          </c:cat>
          <c:val>
            <c:numRef>
              <c:f>Orria1!$G$21:$G$26</c:f>
              <c:numCache>
                <c:formatCode>#,##0\ "€"</c:formatCode>
                <c:ptCount val="6"/>
                <c:pt idx="0">
                  <c:v>13580</c:v>
                </c:pt>
                <c:pt idx="1">
                  <c:v>4945.5262774463454</c:v>
                </c:pt>
                <c:pt idx="2">
                  <c:v>5341.168379642053</c:v>
                </c:pt>
                <c:pt idx="3">
                  <c:v>1648.5087591487818</c:v>
                </c:pt>
                <c:pt idx="4">
                  <c:v>824.2543795743909</c:v>
                </c:pt>
                <c:pt idx="5">
                  <c:v>3846.5204380138243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2-4896-B787-C2ACBD7EAEF2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99060</xdr:colOff>
      <xdr:row>5</xdr:row>
      <xdr:rowOff>152400</xdr:rowOff>
    </xdr:from>
    <xdr:to>
      <xdr:col>18</xdr:col>
      <xdr:colOff>480060</xdr:colOff>
      <xdr:row>17</xdr:row>
      <xdr:rowOff>121920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D9D0A061-F5E0-53E6-1BF8-CAA4E4AE1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20</xdr:row>
      <xdr:rowOff>15240</xdr:rowOff>
    </xdr:from>
    <xdr:to>
      <xdr:col>18</xdr:col>
      <xdr:colOff>449580</xdr:colOff>
      <xdr:row>31</xdr:row>
      <xdr:rowOff>91440</xdr:rowOff>
    </xdr:to>
    <xdr:graphicFrame macro="">
      <xdr:nvGraphicFramePr>
        <xdr:cNvPr id="6" name="Diagrama 5">
          <a:extLst>
            <a:ext uri="{FF2B5EF4-FFF2-40B4-BE49-F238E27FC236}">
              <a16:creationId xmlns:a16="http://schemas.microsoft.com/office/drawing/2014/main" id="{59B2B6D9-7DE2-4257-113B-9E05BACCD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gai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6D20-41BB-4465-A739-CE4010E4C625}">
  <dimension ref="B2:AT29"/>
  <sheetViews>
    <sheetView tabSelected="1" workbookViewId="0">
      <selection activeCell="C14" sqref="C14"/>
    </sheetView>
  </sheetViews>
  <sheetFormatPr defaultRowHeight="14.4" x14ac:dyDescent="0.3"/>
  <cols>
    <col min="2" max="2" width="24.109375" bestFit="1" customWidth="1"/>
    <col min="4" max="4" width="10.5546875" bestFit="1" customWidth="1"/>
    <col min="11" max="11" width="17.21875" bestFit="1" customWidth="1"/>
    <col min="12" max="12" width="12" bestFit="1" customWidth="1"/>
  </cols>
  <sheetData>
    <row r="2" spans="2:43" x14ac:dyDescent="0.3">
      <c r="J2" s="5" t="s">
        <v>35</v>
      </c>
      <c r="K2" s="5" t="s">
        <v>23</v>
      </c>
    </row>
    <row r="3" spans="2:43" x14ac:dyDescent="0.3">
      <c r="B3" t="s">
        <v>0</v>
      </c>
      <c r="F3" t="s">
        <v>36</v>
      </c>
    </row>
    <row r="5" spans="2:43" x14ac:dyDescent="0.3">
      <c r="B5" t="s">
        <v>3</v>
      </c>
      <c r="C5">
        <v>18000</v>
      </c>
      <c r="D5" t="s">
        <v>11</v>
      </c>
    </row>
    <row r="6" spans="2:43" x14ac:dyDescent="0.3">
      <c r="B6" t="s">
        <v>8</v>
      </c>
      <c r="C6">
        <v>1.6</v>
      </c>
      <c r="D6" t="s">
        <v>10</v>
      </c>
    </row>
    <row r="7" spans="2:43" x14ac:dyDescent="0.3">
      <c r="B7" t="s">
        <v>9</v>
      </c>
      <c r="C7">
        <v>0.15</v>
      </c>
      <c r="D7" t="s">
        <v>12</v>
      </c>
    </row>
    <row r="8" spans="2:43" x14ac:dyDescent="0.3">
      <c r="B8" t="s">
        <v>4</v>
      </c>
      <c r="C8">
        <v>10</v>
      </c>
    </row>
    <row r="10" spans="2:43" x14ac:dyDescent="0.3">
      <c r="B10" s="1" t="s">
        <v>1</v>
      </c>
      <c r="G10" t="s">
        <v>24</v>
      </c>
    </row>
    <row r="11" spans="2:43" x14ac:dyDescent="0.3">
      <c r="B11" t="s">
        <v>2</v>
      </c>
      <c r="C11">
        <v>16550</v>
      </c>
      <c r="D11" t="s">
        <v>18</v>
      </c>
      <c r="F11" t="s">
        <v>2</v>
      </c>
      <c r="G11" s="2">
        <f>C11</f>
        <v>16550</v>
      </c>
    </row>
    <row r="12" spans="2:43" x14ac:dyDescent="0.3">
      <c r="B12" t="s">
        <v>26</v>
      </c>
      <c r="C12">
        <v>450</v>
      </c>
      <c r="D12" t="s">
        <v>18</v>
      </c>
      <c r="F12" t="s">
        <v>21</v>
      </c>
      <c r="G12" s="2">
        <f>C12*$C$8^1.041</f>
        <v>4945.5262774463454</v>
      </c>
    </row>
    <row r="13" spans="2:43" x14ac:dyDescent="0.3">
      <c r="B13" t="s">
        <v>6</v>
      </c>
      <c r="C13">
        <v>5.8</v>
      </c>
      <c r="D13" t="s">
        <v>19</v>
      </c>
      <c r="F13" t="s">
        <v>5</v>
      </c>
      <c r="G13" s="2">
        <f>C5*0.01*C13*C6*C8^1.041</f>
        <v>18357.793541880834</v>
      </c>
      <c r="I13" t="s">
        <v>32</v>
      </c>
      <c r="J13" s="2">
        <f>SUM(G11:G17)</f>
        <v>47936.460111411572</v>
      </c>
    </row>
    <row r="14" spans="2:43" x14ac:dyDescent="0.3">
      <c r="B14" t="s">
        <v>7</v>
      </c>
      <c r="C14">
        <v>250</v>
      </c>
      <c r="D14" t="s">
        <v>18</v>
      </c>
      <c r="F14" t="s">
        <v>27</v>
      </c>
      <c r="G14" s="2">
        <f>C14*$C$8^1.041</f>
        <v>2747.5145985813028</v>
      </c>
    </row>
    <row r="15" spans="2:43" x14ac:dyDescent="0.3">
      <c r="B15" t="s">
        <v>13</v>
      </c>
      <c r="C15">
        <v>90</v>
      </c>
      <c r="D15" t="s">
        <v>18</v>
      </c>
      <c r="F15" t="s">
        <v>28</v>
      </c>
      <c r="G15" s="2">
        <f>C15*$C$8^1.041</f>
        <v>989.1052554892691</v>
      </c>
    </row>
    <row r="16" spans="2:43" x14ac:dyDescent="0.3">
      <c r="B16" t="s">
        <v>16</v>
      </c>
      <c r="C16">
        <v>350</v>
      </c>
      <c r="D16" t="s">
        <v>18</v>
      </c>
      <c r="F16" t="s">
        <v>29</v>
      </c>
      <c r="G16" s="2">
        <f>C16*$C$8^1.041</f>
        <v>3846.5204380138243</v>
      </c>
      <c r="AQ16">
        <f>AVERAGE(AF20:AO20)</f>
        <v>10.949720999737858</v>
      </c>
    </row>
    <row r="17" spans="2:46" x14ac:dyDescent="0.3">
      <c r="B17" t="s">
        <v>25</v>
      </c>
      <c r="C17">
        <v>500</v>
      </c>
      <c r="D17" t="s">
        <v>18</v>
      </c>
      <c r="F17" t="s">
        <v>30</v>
      </c>
      <c r="G17" s="2">
        <f>C17*ROUNDDOWN(C8/(100000/C5),0)</f>
        <v>500</v>
      </c>
    </row>
    <row r="18" spans="2:46" x14ac:dyDescent="0.3">
      <c r="G18" s="2"/>
    </row>
    <row r="19" spans="2:46" ht="21" x14ac:dyDescent="0.4">
      <c r="B19" s="1" t="s">
        <v>14</v>
      </c>
      <c r="G19" s="2"/>
      <c r="K19" s="3" t="s">
        <v>33</v>
      </c>
      <c r="L19" s="4">
        <f>ABS(J13-J23)</f>
        <v>17750.481877586179</v>
      </c>
      <c r="M19" s="3">
        <f>C8</f>
        <v>10</v>
      </c>
      <c r="N19" s="3" t="s">
        <v>34</v>
      </c>
      <c r="AF19">
        <v>1</v>
      </c>
      <c r="AG19">
        <v>2</v>
      </c>
      <c r="AH19">
        <v>3</v>
      </c>
      <c r="AI19">
        <v>4</v>
      </c>
      <c r="AJ19">
        <v>5</v>
      </c>
      <c r="AK19">
        <v>6</v>
      </c>
      <c r="AL19">
        <v>7</v>
      </c>
      <c r="AM19">
        <v>8</v>
      </c>
      <c r="AN19">
        <v>9</v>
      </c>
      <c r="AO19">
        <v>10</v>
      </c>
      <c r="AP19">
        <v>11</v>
      </c>
      <c r="AQ19">
        <v>12</v>
      </c>
      <c r="AR19">
        <v>13</v>
      </c>
      <c r="AS19">
        <v>14</v>
      </c>
      <c r="AT19">
        <v>15</v>
      </c>
    </row>
    <row r="20" spans="2:46" x14ac:dyDescent="0.3">
      <c r="B20" t="s">
        <v>2</v>
      </c>
      <c r="C20">
        <v>20580</v>
      </c>
      <c r="D20" t="s">
        <v>18</v>
      </c>
      <c r="G20" s="2"/>
      <c r="AF20">
        <v>10</v>
      </c>
      <c r="AG20">
        <f>AF20*1.02</f>
        <v>10.199999999999999</v>
      </c>
      <c r="AH20">
        <f>AG20*1.02</f>
        <v>10.404</v>
      </c>
      <c r="AI20">
        <f t="shared" ref="AI20:AO20" si="0">AH20*1.02</f>
        <v>10.612080000000001</v>
      </c>
      <c r="AJ20">
        <f t="shared" si="0"/>
        <v>10.824321600000001</v>
      </c>
      <c r="AK20">
        <f t="shared" si="0"/>
        <v>11.040808032000001</v>
      </c>
      <c r="AL20">
        <f t="shared" si="0"/>
        <v>11.261624192640001</v>
      </c>
      <c r="AM20">
        <f t="shared" si="0"/>
        <v>11.486856676492801</v>
      </c>
      <c r="AN20">
        <f t="shared" si="0"/>
        <v>11.716593810022657</v>
      </c>
      <c r="AO20">
        <f t="shared" si="0"/>
        <v>11.95092568622311</v>
      </c>
      <c r="AP20">
        <f t="shared" ref="AP20:AT20" si="1">AO20*1.02</f>
        <v>12.189944199947572</v>
      </c>
      <c r="AQ20">
        <f t="shared" si="1"/>
        <v>12.433743083946524</v>
      </c>
      <c r="AR20">
        <f t="shared" si="1"/>
        <v>12.682417945625454</v>
      </c>
      <c r="AS20">
        <f t="shared" si="1"/>
        <v>12.936066304537963</v>
      </c>
      <c r="AT20">
        <f t="shared" si="1"/>
        <v>13.194787630628722</v>
      </c>
    </row>
    <row r="21" spans="2:46" x14ac:dyDescent="0.3">
      <c r="B21" t="s">
        <v>22</v>
      </c>
      <c r="C21">
        <v>7000</v>
      </c>
      <c r="F21" t="s">
        <v>2</v>
      </c>
      <c r="G21" s="2">
        <f>C20-C21</f>
        <v>13580</v>
      </c>
    </row>
    <row r="22" spans="2:46" x14ac:dyDescent="0.3">
      <c r="B22" t="s">
        <v>21</v>
      </c>
      <c r="C22">
        <v>450</v>
      </c>
      <c r="D22" t="s">
        <v>18</v>
      </c>
      <c r="F22" t="s">
        <v>21</v>
      </c>
      <c r="G22" s="2">
        <f>C22*$C$8^1.041</f>
        <v>4945.5262774463454</v>
      </c>
      <c r="AF22">
        <f>AF20</f>
        <v>10</v>
      </c>
      <c r="AG22">
        <f>AG20+AF22</f>
        <v>20.2</v>
      </c>
      <c r="AH22">
        <f>AH20+AG22</f>
        <v>30.603999999999999</v>
      </c>
      <c r="AI22">
        <f t="shared" ref="AI22:AO22" si="2">AI20+AH22</f>
        <v>41.216079999999998</v>
      </c>
      <c r="AJ22">
        <f t="shared" si="2"/>
        <v>52.040401599999996</v>
      </c>
      <c r="AK22">
        <f t="shared" si="2"/>
        <v>63.081209631999997</v>
      </c>
      <c r="AL22">
        <f t="shared" si="2"/>
        <v>74.342833824639996</v>
      </c>
      <c r="AM22">
        <f t="shared" si="2"/>
        <v>85.829690501132802</v>
      </c>
      <c r="AN22">
        <f t="shared" si="2"/>
        <v>97.546284311155461</v>
      </c>
      <c r="AO22">
        <f t="shared" si="2"/>
        <v>109.49720999737858</v>
      </c>
      <c r="AP22">
        <f t="shared" ref="AP22" si="3">AP20+AO22</f>
        <v>121.68715419732615</v>
      </c>
      <c r="AQ22">
        <f t="shared" ref="AQ22" si="4">AQ20+AP22</f>
        <v>134.12089728127268</v>
      </c>
      <c r="AR22">
        <f t="shared" ref="AR22" si="5">AR20+AQ22</f>
        <v>146.80331522689812</v>
      </c>
      <c r="AS22">
        <f t="shared" ref="AS22" si="6">AS20+AR22</f>
        <v>159.73938153143609</v>
      </c>
      <c r="AT22">
        <f t="shared" ref="AT22" si="7">AT20+AS22</f>
        <v>172.93416916206482</v>
      </c>
    </row>
    <row r="23" spans="2:46" x14ac:dyDescent="0.3">
      <c r="B23" t="s">
        <v>6</v>
      </c>
      <c r="C23">
        <v>18</v>
      </c>
      <c r="D23" t="s">
        <v>20</v>
      </c>
      <c r="F23" t="s">
        <v>31</v>
      </c>
      <c r="G23" s="2">
        <f>C5*0.01*C23*C7*C8^1.041</f>
        <v>5341.168379642053</v>
      </c>
      <c r="I23" t="s">
        <v>32</v>
      </c>
      <c r="J23" s="2">
        <f>SUM(G21:G26)</f>
        <v>30185.978233825394</v>
      </c>
    </row>
    <row r="24" spans="2:46" x14ac:dyDescent="0.3">
      <c r="B24" t="s">
        <v>15</v>
      </c>
      <c r="C24">
        <v>150</v>
      </c>
      <c r="D24" t="s">
        <v>18</v>
      </c>
      <c r="F24" t="s">
        <v>27</v>
      </c>
      <c r="G24" s="2">
        <f>C24*$C$8^1.041</f>
        <v>1648.5087591487818</v>
      </c>
    </row>
    <row r="25" spans="2:46" x14ac:dyDescent="0.3">
      <c r="B25" t="s">
        <v>13</v>
      </c>
      <c r="C25">
        <v>75</v>
      </c>
      <c r="D25" t="s">
        <v>18</v>
      </c>
      <c r="F25" t="s">
        <v>28</v>
      </c>
      <c r="G25" s="2">
        <f>C25*$C$8^1.041</f>
        <v>824.2543795743909</v>
      </c>
      <c r="AF25">
        <f>AF19*$AQ$16</f>
        <v>10.949720999737858</v>
      </c>
      <c r="AG25">
        <f>AG19*$AQ$16</f>
        <v>21.899441999475716</v>
      </c>
      <c r="AH25">
        <f>AH19*$AQ$16</f>
        <v>32.849162999213576</v>
      </c>
      <c r="AI25">
        <f>AI19*$AQ$16</f>
        <v>43.798883998951432</v>
      </c>
      <c r="AJ25">
        <f>AJ19*$AQ$16</f>
        <v>54.748604998689288</v>
      </c>
      <c r="AK25">
        <f>AK19*$AQ$16</f>
        <v>65.698325998427151</v>
      </c>
      <c r="AL25">
        <f>AL19*$AQ$16</f>
        <v>76.648046998165</v>
      </c>
      <c r="AM25">
        <f>AM19*$AQ$16</f>
        <v>87.597767997902864</v>
      </c>
      <c r="AN25">
        <f>AN19*$AQ$16</f>
        <v>98.547488997640727</v>
      </c>
      <c r="AO25">
        <f>AO19*$AQ$16</f>
        <v>109.49720999737858</v>
      </c>
      <c r="AP25">
        <f>AP19*$AQ$16</f>
        <v>120.44693099711644</v>
      </c>
      <c r="AQ25">
        <f>AQ19*$AQ$16</f>
        <v>131.3966519968543</v>
      </c>
      <c r="AR25">
        <f>AR19*$AQ$16</f>
        <v>142.34637299659215</v>
      </c>
      <c r="AS25">
        <f>AS19*$AQ$16</f>
        <v>153.29609399633</v>
      </c>
      <c r="AT25">
        <f>AT19*$AQ$16</f>
        <v>164.24581499606788</v>
      </c>
    </row>
    <row r="26" spans="2:46" x14ac:dyDescent="0.3">
      <c r="B26" t="s">
        <v>17</v>
      </c>
      <c r="C26">
        <v>350</v>
      </c>
      <c r="D26" t="s">
        <v>18</v>
      </c>
      <c r="F26" t="s">
        <v>29</v>
      </c>
      <c r="G26" s="2">
        <f>C26*$C$8^1.041</f>
        <v>3846.5204380138243</v>
      </c>
    </row>
    <row r="27" spans="2:46" x14ac:dyDescent="0.3">
      <c r="AF27">
        <f>$AF$20*AF19^$AF$28</f>
        <v>10</v>
      </c>
      <c r="AG27">
        <f>$AF$20*AG19^$AF$28</f>
        <v>20.57653415787151</v>
      </c>
      <c r="AH27">
        <f>$AF$20*AH19^$AF$28</f>
        <v>31.382188460794474</v>
      </c>
      <c r="AI27">
        <f>$AF$20*AI19^$AF$28</f>
        <v>42.339375795005303</v>
      </c>
      <c r="AJ27">
        <f>$AF$20*AJ19^$AF$28</f>
        <v>53.410639080444859</v>
      </c>
      <c r="AK27">
        <f>$AF$20*AK19^$AF$28</f>
        <v>64.573667281229859</v>
      </c>
      <c r="AL27">
        <f>$AF$20*AL19^$AF$28</f>
        <v>75.813589543864282</v>
      </c>
      <c r="AM27">
        <f>$AF$20*AM19^$AF$28</f>
        <v>87.119761226888457</v>
      </c>
      <c r="AN27">
        <f>$AF$20*AN19^$AF$28</f>
        <v>98.484175258882217</v>
      </c>
      <c r="AO27">
        <f>$AF$20*AO19^$AF$28</f>
        <v>109.90058394325212</v>
      </c>
      <c r="AP27">
        <f>$AF$20*AP19^$AF$28</f>
        <v>121.36397301969075</v>
      </c>
      <c r="AQ27">
        <f>$AF$20*AQ19^$AF$28</f>
        <v>132.87022705112568</v>
      </c>
      <c r="AR27">
        <f>$AF$20*AR19^$AF$28</f>
        <v>144.41590619706039</v>
      </c>
      <c r="AS27">
        <f>$AF$20*AS19^$AF$28</f>
        <v>155.99809148801734</v>
      </c>
      <c r="AT27">
        <f>$AF$20*AT19^$AF$28</f>
        <v>167.61427414339951</v>
      </c>
    </row>
    <row r="28" spans="2:46" x14ac:dyDescent="0.3">
      <c r="AF28">
        <v>1.0409999999999999</v>
      </c>
    </row>
    <row r="29" spans="2:46" x14ac:dyDescent="0.3">
      <c r="AG29">
        <f>SUM(AF20:AO20)/10</f>
        <v>10.949720999737858</v>
      </c>
    </row>
  </sheetData>
  <pageMargins left="0.7" right="0.7" top="0.75" bottom="0.75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Lan-orriak</vt:lpstr>
      </vt:variant>
      <vt:variant>
        <vt:i4>1</vt:i4>
      </vt:variant>
    </vt:vector>
  </HeadingPairs>
  <TitlesOfParts>
    <vt:vector size="1" baseType="lpstr">
      <vt:lpstr>Orria1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Iragorri (Ingeteam Beasain)</dc:creator>
  <cp:lastModifiedBy>Jon Iragorri (Ingeteam Beasain)</cp:lastModifiedBy>
  <dcterms:created xsi:type="dcterms:W3CDTF">2024-12-08T12:35:41Z</dcterms:created>
  <dcterms:modified xsi:type="dcterms:W3CDTF">2024-12-08T18:58:00Z</dcterms:modified>
</cp:coreProperties>
</file>